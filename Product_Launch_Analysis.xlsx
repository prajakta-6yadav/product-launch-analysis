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9_{5B9811DD-C0EB-48A1-A9E6-3357461ABEF4}" xr6:coauthVersionLast="47" xr6:coauthVersionMax="47" xr10:uidLastSave="{00000000-0000-0000-0000-000000000000}"/>
  <bookViews>
    <workbookView xWindow="-108" yWindow="-108" windowWidth="23256" windowHeight="12456" firstSheet="1" activeTab="4" xr2:uid="{C2979297-99A4-4FA3-989F-8A564039AA5E}"/>
  </bookViews>
  <sheets>
    <sheet name="raw_data" sheetId="1" r:id="rId1"/>
    <sheet name="Weekly_Sales" sheetId="5" r:id="rId2"/>
    <sheet name="Weekly_Spend" sheetId="6" r:id="rId3"/>
    <sheet name="Weekly_Impressions" sheetId="7" r:id="rId4"/>
    <sheet name="Region_Summary" sheetId="8" r:id="rId5"/>
    <sheet name="Insights" sheetId="9" r:id="rId6"/>
  </sheets>
  <calcPr calcId="0"/>
  <pivotCaches>
    <pivotCache cacheId="14" r:id="rId7"/>
  </pivotCaches>
</workbook>
</file>

<file path=xl/calcChain.xml><?xml version="1.0" encoding="utf-8"?>
<calcChain xmlns="http://schemas.openxmlformats.org/spreadsheetml/2006/main">
  <c r="G5" i="8" l="1"/>
  <c r="G6" i="8"/>
  <c r="G7" i="8"/>
  <c r="G8" i="8"/>
  <c r="G4" i="8"/>
  <c r="F5" i="8"/>
  <c r="F6" i="8"/>
  <c r="F7" i="8"/>
  <c r="F8" i="8"/>
  <c r="F4" i="8"/>
  <c r="E5" i="8"/>
  <c r="E6" i="8"/>
  <c r="E7" i="8"/>
  <c r="E8" i="8"/>
  <c r="E4" i="8"/>
</calcChain>
</file>

<file path=xl/sharedStrings.xml><?xml version="1.0" encoding="utf-8"?>
<sst xmlns="http://schemas.openxmlformats.org/spreadsheetml/2006/main" count="90" uniqueCount="35">
  <si>
    <t>week_number</t>
  </si>
  <si>
    <t>region</t>
  </si>
  <si>
    <t>total_sales</t>
  </si>
  <si>
    <t>total_spend</t>
  </si>
  <si>
    <t>total_impressions</t>
  </si>
  <si>
    <t>East</t>
  </si>
  <si>
    <t>North</t>
  </si>
  <si>
    <t>South</t>
  </si>
  <si>
    <t>West</t>
  </si>
  <si>
    <t>Row Labels</t>
  </si>
  <si>
    <t>Grand Total</t>
  </si>
  <si>
    <t>Column Labels</t>
  </si>
  <si>
    <t>Sum of total_sales</t>
  </si>
  <si>
    <t>Sum of total_spend</t>
  </si>
  <si>
    <t>Sum of total_impressions</t>
  </si>
  <si>
    <t>ROAS</t>
  </si>
  <si>
    <t>Cost_per_Sale</t>
  </si>
  <si>
    <t>Conversion</t>
  </si>
  <si>
    <t>Overall Performance</t>
  </si>
  <si>
    <t>• North &amp; West regions generated highest sales (585 units each).</t>
  </si>
  <si>
    <t>• South shows lowest conversion (0.91%) – optimization required.</t>
  </si>
  <si>
    <t>• West achieved strong balance between spend &amp; sales.</t>
  </si>
  <si>
    <t>ROAS Analysis</t>
  </si>
  <si>
    <t>• South region has highest ROAS (2.39%) → most efficient marketing spend.</t>
  </si>
  <si>
    <t>• East has lowest ROAS (2.10%) → budget re-allocation recommended.</t>
  </si>
  <si>
    <t>Cost Efficiency</t>
  </si>
  <si>
    <t>• South has lowest Cost per Sale (~41.8) → best cost efficiency.</t>
  </si>
  <si>
    <t>• East has highest Cost per Sale (~47.6) → improvement needed.</t>
  </si>
  <si>
    <t>Recommendation</t>
  </si>
  <si>
    <t xml:space="preserve"> • Increase marketing budget in South &amp; West.</t>
  </si>
  <si>
    <t xml:space="preserve"> • Optimize East campaigns.</t>
  </si>
  <si>
    <t xml:space="preserve"> • Improve conversion strategy in South.</t>
  </si>
  <si>
    <t>Weekly Spend by Region</t>
  </si>
  <si>
    <t>Weekly Impressions by Region</t>
  </si>
  <si>
    <t>Weekly Sales Performance by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</si>
</sst>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10" fontId="0" fillId="0" borderId="0" xfId="1" applyNumberFormat="1" applyFont="1"/>
    <xf numFmtId="0" fontId="18" fillId="0" borderId="0" xfId="0" applyFont="1" applyAlignment="1">
      <alignment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[Product_Launch_Analysis.xlsx]Weekly_Sales!PivotTable4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802537182852141"/>
          <c:y val="0.14249781277340332"/>
          <c:w val="0.76114129483814519"/>
          <c:h val="0.658901283172936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Weekly_Sales!$B$3:$B$4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Weekly_Sales!$A$5:$A$13</c:f>
              <c:strCache>
                <c:ptCount val="8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</c:strCache>
            </c:strRef>
          </c:cat>
          <c:val>
            <c:numRef>
              <c:f>Weekly_Sales!$B$5:$B$13</c:f>
              <c:numCache>
                <c:formatCode>General</c:formatCode>
                <c:ptCount val="8"/>
                <c:pt idx="0">
                  <c:v>20</c:v>
                </c:pt>
                <c:pt idx="1">
                  <c:v>28</c:v>
                </c:pt>
                <c:pt idx="2">
                  <c:v>30</c:v>
                </c:pt>
                <c:pt idx="3">
                  <c:v>35</c:v>
                </c:pt>
                <c:pt idx="4">
                  <c:v>38</c:v>
                </c:pt>
                <c:pt idx="5">
                  <c:v>40</c:v>
                </c:pt>
                <c:pt idx="6">
                  <c:v>42</c:v>
                </c:pt>
                <c:pt idx="7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C1-48BB-9422-CA5D1D0F3BD2}"/>
            </c:ext>
          </c:extLst>
        </c:ser>
        <c:ser>
          <c:idx val="1"/>
          <c:order val="1"/>
          <c:tx>
            <c:strRef>
              <c:f>Weekly_Sales!$C$3:$C$4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Weekly_Sales!$A$5:$A$13</c:f>
              <c:strCache>
                <c:ptCount val="8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</c:strCache>
            </c:strRef>
          </c:cat>
          <c:val>
            <c:numRef>
              <c:f>Weekly_Sales!$C$5:$C$13</c:f>
              <c:numCache>
                <c:formatCode>General</c:formatCode>
                <c:ptCount val="8"/>
                <c:pt idx="0">
                  <c:v>75</c:v>
                </c:pt>
                <c:pt idx="1">
                  <c:v>85</c:v>
                </c:pt>
                <c:pt idx="2">
                  <c:v>50</c:v>
                </c:pt>
                <c:pt idx="3">
                  <c:v>105</c:v>
                </c:pt>
                <c:pt idx="4">
                  <c:v>60</c:v>
                </c:pt>
                <c:pt idx="5">
                  <c:v>65</c:v>
                </c:pt>
                <c:pt idx="6">
                  <c:v>70</c:v>
                </c:pt>
                <c:pt idx="7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C1-48BB-9422-CA5D1D0F3BD2}"/>
            </c:ext>
          </c:extLst>
        </c:ser>
        <c:ser>
          <c:idx val="2"/>
          <c:order val="2"/>
          <c:tx>
            <c:strRef>
              <c:f>Weekly_Sales!$D$3:$D$4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Weekly_Sales!$A$5:$A$13</c:f>
              <c:strCache>
                <c:ptCount val="8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</c:strCache>
            </c:strRef>
          </c:cat>
          <c:val>
            <c:numRef>
              <c:f>Weekly_Sales!$D$5:$D$13</c:f>
              <c:numCache>
                <c:formatCode>General</c:formatCode>
                <c:ptCount val="8"/>
                <c:pt idx="0">
                  <c:v>55</c:v>
                </c:pt>
                <c:pt idx="1">
                  <c:v>65</c:v>
                </c:pt>
                <c:pt idx="2">
                  <c:v>70</c:v>
                </c:pt>
                <c:pt idx="3">
                  <c:v>40</c:v>
                </c:pt>
                <c:pt idx="4">
                  <c:v>45</c:v>
                </c:pt>
                <c:pt idx="5">
                  <c:v>48</c:v>
                </c:pt>
                <c:pt idx="6">
                  <c:v>50</c:v>
                </c:pt>
                <c:pt idx="7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C1-48BB-9422-CA5D1D0F3BD2}"/>
            </c:ext>
          </c:extLst>
        </c:ser>
        <c:ser>
          <c:idx val="3"/>
          <c:order val="3"/>
          <c:tx>
            <c:strRef>
              <c:f>Weekly_Sales!$E$3:$E$4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Weekly_Sales!$A$5:$A$13</c:f>
              <c:strCache>
                <c:ptCount val="8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</c:strCache>
            </c:strRef>
          </c:cat>
          <c:val>
            <c:numRef>
              <c:f>Weekly_Sales!$E$5:$E$13</c:f>
              <c:numCache>
                <c:formatCode>General</c:formatCode>
                <c:ptCount val="8"/>
                <c:pt idx="0">
                  <c:v>95</c:v>
                </c:pt>
                <c:pt idx="1">
                  <c:v>55</c:v>
                </c:pt>
                <c:pt idx="2">
                  <c:v>60</c:v>
                </c:pt>
                <c:pt idx="3">
                  <c:v>65</c:v>
                </c:pt>
                <c:pt idx="4">
                  <c:v>70</c:v>
                </c:pt>
                <c:pt idx="5">
                  <c:v>75</c:v>
                </c:pt>
                <c:pt idx="6">
                  <c:v>80</c:v>
                </c:pt>
                <c:pt idx="7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C1-48BB-9422-CA5D1D0F3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2749168"/>
        <c:axId val="262768368"/>
      </c:barChart>
      <c:catAx>
        <c:axId val="26274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768368"/>
        <c:crosses val="autoZero"/>
        <c:auto val="1"/>
        <c:lblAlgn val="ctr"/>
        <c:lblOffset val="100"/>
        <c:noMultiLvlLbl val="0"/>
      </c:catAx>
      <c:valAx>
        <c:axId val="26276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74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[Product_Launch_Analysis.xlsx]Weekly_Spend!PivotTable5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0001941721570518"/>
          <c:y val="0.13003602686546312"/>
          <c:w val="0.8075060929883765"/>
          <c:h val="0.688731208979105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Weekly_Spend!$B$3:$B$4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Weekly_Spend!$A$5:$A$13</c:f>
              <c:strCache>
                <c:ptCount val="8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</c:strCache>
            </c:strRef>
          </c:cat>
          <c:val>
            <c:numRef>
              <c:f>Weekly_Spend!$B$5:$B$13</c:f>
              <c:numCache>
                <c:formatCode>General</c:formatCode>
                <c:ptCount val="8"/>
                <c:pt idx="0">
                  <c:v>2090.79</c:v>
                </c:pt>
                <c:pt idx="1">
                  <c:v>1300</c:v>
                </c:pt>
                <c:pt idx="2">
                  <c:v>1350</c:v>
                </c:pt>
                <c:pt idx="3">
                  <c:v>1500</c:v>
                </c:pt>
                <c:pt idx="4">
                  <c:v>1600</c:v>
                </c:pt>
                <c:pt idx="5">
                  <c:v>1700</c:v>
                </c:pt>
                <c:pt idx="6">
                  <c:v>1800</c:v>
                </c:pt>
                <c:pt idx="7">
                  <c:v>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B2-4DFA-9FED-AA30D0F25487}"/>
            </c:ext>
          </c:extLst>
        </c:ser>
        <c:ser>
          <c:idx val="1"/>
          <c:order val="1"/>
          <c:tx>
            <c:strRef>
              <c:f>Weekly_Spend!$C$3:$C$4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Weekly_Spend!$A$5:$A$13</c:f>
              <c:strCache>
                <c:ptCount val="8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</c:strCache>
            </c:strRef>
          </c:cat>
          <c:val>
            <c:numRef>
              <c:f>Weekly_Spend!$C$5:$C$13</c:f>
              <c:numCache>
                <c:formatCode>General</c:formatCode>
                <c:ptCount val="8"/>
                <c:pt idx="0">
                  <c:v>3300</c:v>
                </c:pt>
                <c:pt idx="1">
                  <c:v>3800</c:v>
                </c:pt>
                <c:pt idx="2">
                  <c:v>2200</c:v>
                </c:pt>
                <c:pt idx="3">
                  <c:v>4600</c:v>
                </c:pt>
                <c:pt idx="4">
                  <c:v>2600</c:v>
                </c:pt>
                <c:pt idx="5">
                  <c:v>2800</c:v>
                </c:pt>
                <c:pt idx="6">
                  <c:v>3000</c:v>
                </c:pt>
                <c:pt idx="7">
                  <c:v>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B2-4DFA-9FED-AA30D0F25487}"/>
            </c:ext>
          </c:extLst>
        </c:ser>
        <c:ser>
          <c:idx val="2"/>
          <c:order val="2"/>
          <c:tx>
            <c:strRef>
              <c:f>Weekly_Spend!$D$3:$D$4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Weekly_Spend!$A$5:$A$13</c:f>
              <c:strCache>
                <c:ptCount val="8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</c:strCache>
            </c:strRef>
          </c:cat>
          <c:val>
            <c:numRef>
              <c:f>Weekly_Spend!$D$5:$D$13</c:f>
              <c:numCache>
                <c:formatCode>General</c:formatCode>
                <c:ptCount val="8"/>
                <c:pt idx="0">
                  <c:v>2500</c:v>
                </c:pt>
                <c:pt idx="1">
                  <c:v>2900</c:v>
                </c:pt>
                <c:pt idx="2">
                  <c:v>3000</c:v>
                </c:pt>
                <c:pt idx="3">
                  <c:v>1700</c:v>
                </c:pt>
                <c:pt idx="4">
                  <c:v>1800</c:v>
                </c:pt>
                <c:pt idx="5">
                  <c:v>1900</c:v>
                </c:pt>
                <c:pt idx="6">
                  <c:v>2000</c:v>
                </c:pt>
                <c:pt idx="7">
                  <c:v>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B2-4DFA-9FED-AA30D0F25487}"/>
            </c:ext>
          </c:extLst>
        </c:ser>
        <c:ser>
          <c:idx val="3"/>
          <c:order val="3"/>
          <c:tx>
            <c:strRef>
              <c:f>Weekly_Spend!$E$3:$E$4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Weekly_Spend!$A$5:$A$13</c:f>
              <c:strCache>
                <c:ptCount val="8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</c:strCache>
            </c:strRef>
          </c:cat>
          <c:val>
            <c:numRef>
              <c:f>Weekly_Spend!$E$5:$E$13</c:f>
              <c:numCache>
                <c:formatCode>General</c:formatCode>
                <c:ptCount val="8"/>
                <c:pt idx="0">
                  <c:v>4200</c:v>
                </c:pt>
                <c:pt idx="1">
                  <c:v>2300</c:v>
                </c:pt>
                <c:pt idx="2">
                  <c:v>2500</c:v>
                </c:pt>
                <c:pt idx="3">
                  <c:v>2700</c:v>
                </c:pt>
                <c:pt idx="4">
                  <c:v>3000</c:v>
                </c:pt>
                <c:pt idx="5">
                  <c:v>3200</c:v>
                </c:pt>
                <c:pt idx="6">
                  <c:v>3400</c:v>
                </c:pt>
                <c:pt idx="7">
                  <c:v>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B2-4DFA-9FED-AA30D0F25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2755888"/>
        <c:axId val="262751088"/>
      </c:barChart>
      <c:catAx>
        <c:axId val="26275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751088"/>
        <c:crosses val="autoZero"/>
        <c:auto val="1"/>
        <c:lblAlgn val="ctr"/>
        <c:lblOffset val="100"/>
        <c:noMultiLvlLbl val="0"/>
      </c:catAx>
      <c:valAx>
        <c:axId val="26275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755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[Product_Launch_Analysis.xlsx]Weekly_Impressions!PivotTable6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273083242643451"/>
          <c:y val="0.14249781277340332"/>
          <c:w val="0.73580796150481187"/>
          <c:h val="0.654271653543307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Weekly_Impressions!$B$3:$B$4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Weekly_Impressions!$A$5:$A$13</c:f>
              <c:strCache>
                <c:ptCount val="8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</c:strCache>
            </c:strRef>
          </c:cat>
          <c:val>
            <c:numRef>
              <c:f>Weekly_Impressions!$B$5:$B$13</c:f>
              <c:numCache>
                <c:formatCode>General</c:formatCode>
                <c:ptCount val="8"/>
                <c:pt idx="0">
                  <c:v>3000</c:v>
                </c:pt>
                <c:pt idx="1">
                  <c:v>3400</c:v>
                </c:pt>
                <c:pt idx="2">
                  <c:v>3600</c:v>
                </c:pt>
                <c:pt idx="3">
                  <c:v>3800</c:v>
                </c:pt>
                <c:pt idx="4">
                  <c:v>4000</c:v>
                </c:pt>
                <c:pt idx="5">
                  <c:v>4200</c:v>
                </c:pt>
                <c:pt idx="6">
                  <c:v>4400</c:v>
                </c:pt>
                <c:pt idx="7">
                  <c:v>4600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FA-443D-AA62-CBF21A259001}"/>
            </c:ext>
          </c:extLst>
        </c:ser>
        <c:ser>
          <c:idx val="1"/>
          <c:order val="1"/>
          <c:tx>
            <c:strRef>
              <c:f>Weekly_Impressions!$C$3:$C$4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Weekly_Impressions!$A$5:$A$13</c:f>
              <c:strCache>
                <c:ptCount val="8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</c:strCache>
            </c:strRef>
          </c:cat>
          <c:val>
            <c:numRef>
              <c:f>Weekly_Impressions!$C$5:$C$13</c:f>
              <c:numCache>
                <c:formatCode>General</c:formatCode>
                <c:ptCount val="8"/>
                <c:pt idx="0">
                  <c:v>7500</c:v>
                </c:pt>
                <c:pt idx="1">
                  <c:v>8100</c:v>
                </c:pt>
                <c:pt idx="2">
                  <c:v>4500</c:v>
                </c:pt>
                <c:pt idx="3">
                  <c:v>9200</c:v>
                </c:pt>
                <c:pt idx="4">
                  <c:v>5000</c:v>
                </c:pt>
                <c:pt idx="5">
                  <c:v>5200</c:v>
                </c:pt>
                <c:pt idx="6">
                  <c:v>5500</c:v>
                </c:pt>
                <c:pt idx="7">
                  <c:v>5800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FA-443D-AA62-CBF21A259001}"/>
            </c:ext>
          </c:extLst>
        </c:ser>
        <c:ser>
          <c:idx val="2"/>
          <c:order val="2"/>
          <c:tx>
            <c:strRef>
              <c:f>Weekly_Impressions!$D$3:$D$4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Weekly_Impressions!$A$5:$A$13</c:f>
              <c:strCache>
                <c:ptCount val="8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</c:strCache>
            </c:strRef>
          </c:cat>
          <c:val>
            <c:numRef>
              <c:f>Weekly_Impressions!$D$5:$D$13</c:f>
              <c:numCache>
                <c:formatCode>General</c:formatCode>
                <c:ptCount val="8"/>
                <c:pt idx="0">
                  <c:v>8000</c:v>
                </c:pt>
                <c:pt idx="1">
                  <c:v>7900</c:v>
                </c:pt>
                <c:pt idx="2">
                  <c:v>8100</c:v>
                </c:pt>
                <c:pt idx="3">
                  <c:v>4300</c:v>
                </c:pt>
                <c:pt idx="4">
                  <c:v>4400</c:v>
                </c:pt>
                <c:pt idx="5">
                  <c:v>4600</c:v>
                </c:pt>
                <c:pt idx="6">
                  <c:v>4800</c:v>
                </c:pt>
                <c:pt idx="7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FA-443D-AA62-CBF21A259001}"/>
            </c:ext>
          </c:extLst>
        </c:ser>
        <c:ser>
          <c:idx val="3"/>
          <c:order val="3"/>
          <c:tx>
            <c:strRef>
              <c:f>Weekly_Impressions!$E$3:$E$4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Weekly_Impressions!$A$5:$A$13</c:f>
              <c:strCache>
                <c:ptCount val="8"/>
                <c:pt idx="0">
                  <c:v>202501</c:v>
                </c:pt>
                <c:pt idx="1">
                  <c:v>202502</c:v>
                </c:pt>
                <c:pt idx="2">
                  <c:v>202503</c:v>
                </c:pt>
                <c:pt idx="3">
                  <c:v>202504</c:v>
                </c:pt>
                <c:pt idx="4">
                  <c:v>202505</c:v>
                </c:pt>
                <c:pt idx="5">
                  <c:v>202506</c:v>
                </c:pt>
                <c:pt idx="6">
                  <c:v>202507</c:v>
                </c:pt>
                <c:pt idx="7">
                  <c:v>202508</c:v>
                </c:pt>
              </c:strCache>
            </c:strRef>
          </c:cat>
          <c:val>
            <c:numRef>
              <c:f>Weekly_Impressions!$E$5:$E$13</c:f>
              <c:numCache>
                <c:formatCode>General</c:formatCode>
                <c:ptCount val="8"/>
                <c:pt idx="0">
                  <c:v>9800</c:v>
                </c:pt>
                <c:pt idx="1">
                  <c:v>5200</c:v>
                </c:pt>
                <c:pt idx="2">
                  <c:v>5600</c:v>
                </c:pt>
                <c:pt idx="3">
                  <c:v>5900</c:v>
                </c:pt>
                <c:pt idx="4">
                  <c:v>6200</c:v>
                </c:pt>
                <c:pt idx="5">
                  <c:v>6500</c:v>
                </c:pt>
                <c:pt idx="6">
                  <c:v>6800</c:v>
                </c:pt>
                <c:pt idx="7">
                  <c:v>7100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FA-443D-AA62-CBF21A259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2760688"/>
        <c:axId val="262753488"/>
      </c:barChart>
      <c:catAx>
        <c:axId val="26276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753488"/>
        <c:crosses val="autoZero"/>
        <c:auto val="1"/>
        <c:lblAlgn val="ctr"/>
        <c:lblOffset val="100"/>
        <c:noMultiLvlLbl val="0"/>
      </c:catAx>
      <c:valAx>
        <c:axId val="26275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76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1</xdr:row>
      <xdr:rowOff>83820</xdr:rowOff>
    </xdr:from>
    <xdr:to>
      <xdr:col>15</xdr:col>
      <xdr:colOff>594360</xdr:colOff>
      <xdr:row>17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B792D2-B276-3F4C-3724-17EEEC0A0B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175260</xdr:colOff>
      <xdr:row>1</xdr:row>
      <xdr:rowOff>83820</xdr:rowOff>
    </xdr:from>
    <xdr:to>
      <xdr:col>16</xdr:col>
      <xdr:colOff>53340</xdr:colOff>
      <xdr:row>17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1F43CC-BAB9-F1E7-3B5E-5F06B504A5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419100</xdr:colOff>
      <xdr:row>0</xdr:row>
      <xdr:rowOff>156210</xdr:rowOff>
    </xdr:from>
    <xdr:to>
      <xdr:col>15</xdr:col>
      <xdr:colOff>556260</xdr:colOff>
      <xdr:row>15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CAD72F-A7C1-3A6C-CF3A-6733A71D1B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74.686501736112" createdVersion="8" refreshedVersion="8" minRefreshableVersion="3" recordCount="32" xr:uid="{62E92835-B919-420D-B31B-4E99D7538013}">
  <cacheSource type="worksheet">
    <worksheetSource name="Table1"/>
  </cacheSource>
  <cacheFields count="5">
    <cacheField name="week_number" numFmtId="0">
      <sharedItems containsSemiMixedTypes="0" containsString="0" containsNumber="1" containsInteger="1" minValue="202501" maxValue="202508" count="8">
        <n v="202501"/>
        <n v="202502"/>
        <n v="202503"/>
        <n v="202504"/>
        <n v="202505"/>
        <n v="202506"/>
        <n v="202507"/>
        <n v="202508"/>
      </sharedItems>
    </cacheField>
    <cacheField name="region" numFmtId="0">
      <sharedItems count="4">
        <s v="East"/>
        <s v="North"/>
        <s v="South"/>
        <s v="West"/>
      </sharedItems>
    </cacheField>
    <cacheField name="total_sales" numFmtId="0">
      <sharedItems containsSemiMixedTypes="0" containsString="0" containsNumber="1" containsInteger="1" minValue="20" maxValue="105"/>
    </cacheField>
    <cacheField name="total_spend" numFmtId="0">
      <sharedItems containsSemiMixedTypes="0" containsString="0" containsNumber="1" minValue="1300" maxValue="4600"/>
    </cacheField>
    <cacheField name="total_impressions" numFmtId="0">
      <sharedItems containsSemiMixedTypes="0" containsString="0" containsNumber="1" containsInteger="1" minValue="3000" maxValue="9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x v="0"/>
    <n v="20"/>
    <n v="2090.79"/>
    <n v="3000"/>
  </r>
  <r>
    <x v="0"/>
    <x v="1"/>
    <n v="75"/>
    <n v="3300"/>
    <n v="7500"/>
  </r>
  <r>
    <x v="0"/>
    <x v="2"/>
    <n v="55"/>
    <n v="2500"/>
    <n v="8000"/>
  </r>
  <r>
    <x v="0"/>
    <x v="3"/>
    <n v="95"/>
    <n v="4200"/>
    <n v="9800"/>
  </r>
  <r>
    <x v="1"/>
    <x v="0"/>
    <n v="28"/>
    <n v="1300"/>
    <n v="3400"/>
  </r>
  <r>
    <x v="1"/>
    <x v="1"/>
    <n v="85"/>
    <n v="3800"/>
    <n v="8100"/>
  </r>
  <r>
    <x v="1"/>
    <x v="2"/>
    <n v="65"/>
    <n v="2900"/>
    <n v="7900"/>
  </r>
  <r>
    <x v="1"/>
    <x v="3"/>
    <n v="55"/>
    <n v="2300"/>
    <n v="5200"/>
  </r>
  <r>
    <x v="2"/>
    <x v="0"/>
    <n v="30"/>
    <n v="1350"/>
    <n v="3600"/>
  </r>
  <r>
    <x v="2"/>
    <x v="1"/>
    <n v="50"/>
    <n v="2200"/>
    <n v="4500"/>
  </r>
  <r>
    <x v="2"/>
    <x v="2"/>
    <n v="70"/>
    <n v="3000"/>
    <n v="8100"/>
  </r>
  <r>
    <x v="2"/>
    <x v="3"/>
    <n v="60"/>
    <n v="2500"/>
    <n v="5600"/>
  </r>
  <r>
    <x v="3"/>
    <x v="0"/>
    <n v="35"/>
    <n v="1500"/>
    <n v="3800"/>
  </r>
  <r>
    <x v="3"/>
    <x v="1"/>
    <n v="105"/>
    <n v="4600"/>
    <n v="9200"/>
  </r>
  <r>
    <x v="3"/>
    <x v="2"/>
    <n v="40"/>
    <n v="1700"/>
    <n v="4300"/>
  </r>
  <r>
    <x v="3"/>
    <x v="3"/>
    <n v="65"/>
    <n v="2700"/>
    <n v="5900"/>
  </r>
  <r>
    <x v="4"/>
    <x v="0"/>
    <n v="38"/>
    <n v="1600"/>
    <n v="4000"/>
  </r>
  <r>
    <x v="4"/>
    <x v="1"/>
    <n v="60"/>
    <n v="2600"/>
    <n v="5000"/>
  </r>
  <r>
    <x v="4"/>
    <x v="2"/>
    <n v="45"/>
    <n v="1800"/>
    <n v="4400"/>
  </r>
  <r>
    <x v="4"/>
    <x v="3"/>
    <n v="70"/>
    <n v="3000"/>
    <n v="6200"/>
  </r>
  <r>
    <x v="5"/>
    <x v="0"/>
    <n v="40"/>
    <n v="1700"/>
    <n v="4200"/>
  </r>
  <r>
    <x v="5"/>
    <x v="1"/>
    <n v="65"/>
    <n v="2800"/>
    <n v="5200"/>
  </r>
  <r>
    <x v="5"/>
    <x v="2"/>
    <n v="48"/>
    <n v="1900"/>
    <n v="4600"/>
  </r>
  <r>
    <x v="5"/>
    <x v="3"/>
    <n v="75"/>
    <n v="3200"/>
    <n v="6500"/>
  </r>
  <r>
    <x v="6"/>
    <x v="0"/>
    <n v="42"/>
    <n v="1800"/>
    <n v="4400"/>
  </r>
  <r>
    <x v="6"/>
    <x v="1"/>
    <n v="70"/>
    <n v="3000"/>
    <n v="5500"/>
  </r>
  <r>
    <x v="6"/>
    <x v="2"/>
    <n v="50"/>
    <n v="2000"/>
    <n v="4800"/>
  </r>
  <r>
    <x v="6"/>
    <x v="3"/>
    <n v="80"/>
    <n v="3400"/>
    <n v="6800"/>
  </r>
  <r>
    <x v="7"/>
    <x v="0"/>
    <n v="45"/>
    <n v="1900"/>
    <n v="4600"/>
  </r>
  <r>
    <x v="7"/>
    <x v="1"/>
    <n v="75"/>
    <n v="3200"/>
    <n v="5800"/>
  </r>
  <r>
    <x v="7"/>
    <x v="2"/>
    <n v="55"/>
    <n v="2100"/>
    <n v="5000"/>
  </r>
  <r>
    <x v="7"/>
    <x v="3"/>
    <n v="85"/>
    <n v="3600"/>
    <n v="7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A5925C-1657-4978-85FD-C0C39E452F56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F13" firstHeaderRow="1" firstDataRow="2" firstDataCol="1"/>
  <pivotFields count="5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dataField="1" showAll="0"/>
    <pivotField showAll="0"/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Weekly Sales Performance by Region" fld="2" baseField="0" baseItem="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E0350A-8455-423A-B9F7-2745DB8FE773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F13" firstHeaderRow="1" firstDataRow="2" firstDataCol="1"/>
  <pivotFields count="5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Weekly Spend by Region" fld="3" baseField="0" baseItem="2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A552AA-1EE9-4064-88C0-50DBAD08E0A3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F13" firstHeaderRow="1" firstDataRow="2" firstDataCol="1"/>
  <pivotFields count="5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Weekly Impressions by Region" fld="4" baseField="0" baseItem="5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F28559-738B-49D2-BF4D-D3DB3A3C3539}" name="PivotTable7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/>
  <pivotFields count="5">
    <pivotField showAll="0"/>
    <pivotField axis="axisRow" showAll="0">
      <items count="5">
        <item x="0"/>
        <item x="1"/>
        <item x="2"/>
        <item x="3"/>
        <item t="default"/>
      </items>
    </pivotField>
    <pivotField dataField="1" showAll="0"/>
    <pivotField dataField="1"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sales" fld="2" baseField="0" baseItem="0"/>
    <dataField name="Sum of total_spend" fld="3" baseField="0" baseItem="0"/>
    <dataField name="Sum of total_impression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1C0A82-1407-4B9B-BEB3-A789B2679180}" name="Table1" displayName="Table1" ref="A1:E33" totalsRowShown="0">
  <autoFilter ref="A1:E33" xr:uid="{8D1C0A82-1407-4B9B-BEB3-A789B2679180}"/>
  <tableColumns count="5">
    <tableColumn id="1" xr3:uid="{424ABF9D-0375-4C52-8B40-2BC63C90EB56}" name="week_number"/>
    <tableColumn id="2" xr3:uid="{437E928C-E03C-4C9C-8897-FF39C2657404}" name="region"/>
    <tableColumn id="3" xr3:uid="{B20204A0-DE84-4376-843C-848B581BD890}" name="total_sales"/>
    <tableColumn id="4" xr3:uid="{05FD4255-5267-421F-8AA5-6A00F8DD0D3A}" name="total_spend"/>
    <tableColumn id="5" xr3:uid="{B1993037-2F81-4C09-A577-030D577BC9F8}" name="total_impress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AF8-0C9A-4601-B2A8-950BF188411A}">
  <dimension ref="A1:E33"/>
  <sheetViews>
    <sheetView topLeftCell="A2" workbookViewId="0">
      <selection activeCell="H20" sqref="H20"/>
    </sheetView>
  </sheetViews>
  <sheetFormatPr defaultRowHeight="14.4" x14ac:dyDescent="0.3"/>
  <cols>
    <col min="1" max="1" width="14.44140625" customWidth="1"/>
    <col min="3" max="3" width="11.88671875" customWidth="1"/>
    <col min="4" max="4" width="12.6640625" customWidth="1"/>
    <col min="5" max="5" width="17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202501</v>
      </c>
      <c r="B2" t="s">
        <v>5</v>
      </c>
      <c r="C2">
        <v>20</v>
      </c>
      <c r="D2">
        <v>2090.79</v>
      </c>
      <c r="E2">
        <v>3000</v>
      </c>
    </row>
    <row r="3" spans="1:5" x14ac:dyDescent="0.3">
      <c r="A3">
        <v>202501</v>
      </c>
      <c r="B3" t="s">
        <v>6</v>
      </c>
      <c r="C3">
        <v>75</v>
      </c>
      <c r="D3">
        <v>3300</v>
      </c>
      <c r="E3">
        <v>7500</v>
      </c>
    </row>
    <row r="4" spans="1:5" x14ac:dyDescent="0.3">
      <c r="A4">
        <v>202501</v>
      </c>
      <c r="B4" t="s">
        <v>7</v>
      </c>
      <c r="C4">
        <v>55</v>
      </c>
      <c r="D4">
        <v>2500</v>
      </c>
      <c r="E4">
        <v>8000</v>
      </c>
    </row>
    <row r="5" spans="1:5" x14ac:dyDescent="0.3">
      <c r="A5">
        <v>202501</v>
      </c>
      <c r="B5" t="s">
        <v>8</v>
      </c>
      <c r="C5">
        <v>95</v>
      </c>
      <c r="D5">
        <v>4200</v>
      </c>
      <c r="E5">
        <v>9800</v>
      </c>
    </row>
    <row r="6" spans="1:5" x14ac:dyDescent="0.3">
      <c r="A6">
        <v>202502</v>
      </c>
      <c r="B6" t="s">
        <v>5</v>
      </c>
      <c r="C6">
        <v>28</v>
      </c>
      <c r="D6">
        <v>1300</v>
      </c>
      <c r="E6">
        <v>3400</v>
      </c>
    </row>
    <row r="7" spans="1:5" x14ac:dyDescent="0.3">
      <c r="A7">
        <v>202502</v>
      </c>
      <c r="B7" t="s">
        <v>6</v>
      </c>
      <c r="C7">
        <v>85</v>
      </c>
      <c r="D7">
        <v>3800</v>
      </c>
      <c r="E7">
        <v>8100</v>
      </c>
    </row>
    <row r="8" spans="1:5" x14ac:dyDescent="0.3">
      <c r="A8">
        <v>202502</v>
      </c>
      <c r="B8" t="s">
        <v>7</v>
      </c>
      <c r="C8">
        <v>65</v>
      </c>
      <c r="D8">
        <v>2900</v>
      </c>
      <c r="E8">
        <v>7900</v>
      </c>
    </row>
    <row r="9" spans="1:5" x14ac:dyDescent="0.3">
      <c r="A9">
        <v>202502</v>
      </c>
      <c r="B9" t="s">
        <v>8</v>
      </c>
      <c r="C9">
        <v>55</v>
      </c>
      <c r="D9">
        <v>2300</v>
      </c>
      <c r="E9">
        <v>5200</v>
      </c>
    </row>
    <row r="10" spans="1:5" x14ac:dyDescent="0.3">
      <c r="A10">
        <v>202503</v>
      </c>
      <c r="B10" t="s">
        <v>5</v>
      </c>
      <c r="C10">
        <v>30</v>
      </c>
      <c r="D10">
        <v>1350</v>
      </c>
      <c r="E10">
        <v>3600</v>
      </c>
    </row>
    <row r="11" spans="1:5" x14ac:dyDescent="0.3">
      <c r="A11">
        <v>202503</v>
      </c>
      <c r="B11" t="s">
        <v>6</v>
      </c>
      <c r="C11">
        <v>50</v>
      </c>
      <c r="D11">
        <v>2200</v>
      </c>
      <c r="E11">
        <v>4500</v>
      </c>
    </row>
    <row r="12" spans="1:5" x14ac:dyDescent="0.3">
      <c r="A12">
        <v>202503</v>
      </c>
      <c r="B12" t="s">
        <v>7</v>
      </c>
      <c r="C12">
        <v>70</v>
      </c>
      <c r="D12">
        <v>3000</v>
      </c>
      <c r="E12">
        <v>8100</v>
      </c>
    </row>
    <row r="13" spans="1:5" x14ac:dyDescent="0.3">
      <c r="A13">
        <v>202503</v>
      </c>
      <c r="B13" t="s">
        <v>8</v>
      </c>
      <c r="C13">
        <v>60</v>
      </c>
      <c r="D13">
        <v>2500</v>
      </c>
      <c r="E13">
        <v>5600</v>
      </c>
    </row>
    <row r="14" spans="1:5" x14ac:dyDescent="0.3">
      <c r="A14">
        <v>202504</v>
      </c>
      <c r="B14" t="s">
        <v>5</v>
      </c>
      <c r="C14">
        <v>35</v>
      </c>
      <c r="D14">
        <v>1500</v>
      </c>
      <c r="E14">
        <v>3800</v>
      </c>
    </row>
    <row r="15" spans="1:5" x14ac:dyDescent="0.3">
      <c r="A15">
        <v>202504</v>
      </c>
      <c r="B15" t="s">
        <v>6</v>
      </c>
      <c r="C15">
        <v>105</v>
      </c>
      <c r="D15">
        <v>4600</v>
      </c>
      <c r="E15">
        <v>9200</v>
      </c>
    </row>
    <row r="16" spans="1:5" x14ac:dyDescent="0.3">
      <c r="A16">
        <v>202504</v>
      </c>
      <c r="B16" t="s">
        <v>7</v>
      </c>
      <c r="C16">
        <v>40</v>
      </c>
      <c r="D16">
        <v>1700</v>
      </c>
      <c r="E16">
        <v>4300</v>
      </c>
    </row>
    <row r="17" spans="1:5" x14ac:dyDescent="0.3">
      <c r="A17">
        <v>202504</v>
      </c>
      <c r="B17" t="s">
        <v>8</v>
      </c>
      <c r="C17">
        <v>65</v>
      </c>
      <c r="D17">
        <v>2700</v>
      </c>
      <c r="E17">
        <v>5900</v>
      </c>
    </row>
    <row r="18" spans="1:5" x14ac:dyDescent="0.3">
      <c r="A18">
        <v>202505</v>
      </c>
      <c r="B18" t="s">
        <v>5</v>
      </c>
      <c r="C18">
        <v>38</v>
      </c>
      <c r="D18">
        <v>1600</v>
      </c>
      <c r="E18">
        <v>4000</v>
      </c>
    </row>
    <row r="19" spans="1:5" x14ac:dyDescent="0.3">
      <c r="A19">
        <v>202505</v>
      </c>
      <c r="B19" t="s">
        <v>6</v>
      </c>
      <c r="C19">
        <v>60</v>
      </c>
      <c r="D19">
        <v>2600</v>
      </c>
      <c r="E19">
        <v>5000</v>
      </c>
    </row>
    <row r="20" spans="1:5" x14ac:dyDescent="0.3">
      <c r="A20">
        <v>202505</v>
      </c>
      <c r="B20" t="s">
        <v>7</v>
      </c>
      <c r="C20">
        <v>45</v>
      </c>
      <c r="D20">
        <v>1800</v>
      </c>
      <c r="E20">
        <v>4400</v>
      </c>
    </row>
    <row r="21" spans="1:5" x14ac:dyDescent="0.3">
      <c r="A21">
        <v>202505</v>
      </c>
      <c r="B21" t="s">
        <v>8</v>
      </c>
      <c r="C21">
        <v>70</v>
      </c>
      <c r="D21">
        <v>3000</v>
      </c>
      <c r="E21">
        <v>6200</v>
      </c>
    </row>
    <row r="22" spans="1:5" x14ac:dyDescent="0.3">
      <c r="A22">
        <v>202506</v>
      </c>
      <c r="B22" t="s">
        <v>5</v>
      </c>
      <c r="C22">
        <v>40</v>
      </c>
      <c r="D22">
        <v>1700</v>
      </c>
      <c r="E22">
        <v>4200</v>
      </c>
    </row>
    <row r="23" spans="1:5" x14ac:dyDescent="0.3">
      <c r="A23">
        <v>202506</v>
      </c>
      <c r="B23" t="s">
        <v>6</v>
      </c>
      <c r="C23">
        <v>65</v>
      </c>
      <c r="D23">
        <v>2800</v>
      </c>
      <c r="E23">
        <v>5200</v>
      </c>
    </row>
    <row r="24" spans="1:5" x14ac:dyDescent="0.3">
      <c r="A24">
        <v>202506</v>
      </c>
      <c r="B24" t="s">
        <v>7</v>
      </c>
      <c r="C24">
        <v>48</v>
      </c>
      <c r="D24">
        <v>1900</v>
      </c>
      <c r="E24">
        <v>4600</v>
      </c>
    </row>
    <row r="25" spans="1:5" x14ac:dyDescent="0.3">
      <c r="A25">
        <v>202506</v>
      </c>
      <c r="B25" t="s">
        <v>8</v>
      </c>
      <c r="C25">
        <v>75</v>
      </c>
      <c r="D25">
        <v>3200</v>
      </c>
      <c r="E25">
        <v>6500</v>
      </c>
    </row>
    <row r="26" spans="1:5" x14ac:dyDescent="0.3">
      <c r="A26">
        <v>202507</v>
      </c>
      <c r="B26" t="s">
        <v>5</v>
      </c>
      <c r="C26">
        <v>42</v>
      </c>
      <c r="D26">
        <v>1800</v>
      </c>
      <c r="E26">
        <v>4400</v>
      </c>
    </row>
    <row r="27" spans="1:5" x14ac:dyDescent="0.3">
      <c r="A27">
        <v>202507</v>
      </c>
      <c r="B27" t="s">
        <v>6</v>
      </c>
      <c r="C27">
        <v>70</v>
      </c>
      <c r="D27">
        <v>3000</v>
      </c>
      <c r="E27">
        <v>5500</v>
      </c>
    </row>
    <row r="28" spans="1:5" x14ac:dyDescent="0.3">
      <c r="A28">
        <v>202507</v>
      </c>
      <c r="B28" t="s">
        <v>7</v>
      </c>
      <c r="C28">
        <v>50</v>
      </c>
      <c r="D28">
        <v>2000</v>
      </c>
      <c r="E28">
        <v>4800</v>
      </c>
    </row>
    <row r="29" spans="1:5" x14ac:dyDescent="0.3">
      <c r="A29">
        <v>202507</v>
      </c>
      <c r="B29" t="s">
        <v>8</v>
      </c>
      <c r="C29">
        <v>80</v>
      </c>
      <c r="D29">
        <v>3400</v>
      </c>
      <c r="E29">
        <v>6800</v>
      </c>
    </row>
    <row r="30" spans="1:5" x14ac:dyDescent="0.3">
      <c r="A30">
        <v>202508</v>
      </c>
      <c r="B30" t="s">
        <v>5</v>
      </c>
      <c r="C30">
        <v>45</v>
      </c>
      <c r="D30">
        <v>1900</v>
      </c>
      <c r="E30">
        <v>4600</v>
      </c>
    </row>
    <row r="31" spans="1:5" x14ac:dyDescent="0.3">
      <c r="A31">
        <v>202508</v>
      </c>
      <c r="B31" t="s">
        <v>6</v>
      </c>
      <c r="C31">
        <v>75</v>
      </c>
      <c r="D31">
        <v>3200</v>
      </c>
      <c r="E31">
        <v>5800</v>
      </c>
    </row>
    <row r="32" spans="1:5" x14ac:dyDescent="0.3">
      <c r="A32">
        <v>202508</v>
      </c>
      <c r="B32" t="s">
        <v>7</v>
      </c>
      <c r="C32">
        <v>55</v>
      </c>
      <c r="D32">
        <v>2100</v>
      </c>
      <c r="E32">
        <v>5000</v>
      </c>
    </row>
    <row r="33" spans="1:5" x14ac:dyDescent="0.3">
      <c r="A33">
        <v>202508</v>
      </c>
      <c r="B33" t="s">
        <v>8</v>
      </c>
      <c r="C33">
        <v>85</v>
      </c>
      <c r="D33">
        <v>3600</v>
      </c>
      <c r="E33">
        <v>7100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4243B-3F16-46B2-A566-536C4261D5C2}">
  <dimension ref="A3:F13"/>
  <sheetViews>
    <sheetView workbookViewId="0">
      <selection activeCell="S11" sqref="S11"/>
    </sheetView>
  </sheetViews>
  <sheetFormatPr defaultRowHeight="14.4" x14ac:dyDescent="0.3"/>
  <cols>
    <col min="1" max="1" width="31.77734375" bestFit="1" customWidth="1"/>
    <col min="2" max="2" width="15.5546875" bestFit="1" customWidth="1"/>
    <col min="3" max="3" width="5.6640625" bestFit="1" customWidth="1"/>
    <col min="4" max="4" width="5.77734375" bestFit="1" customWidth="1"/>
    <col min="5" max="5" width="5.21875" bestFit="1" customWidth="1"/>
    <col min="6" max="6" width="10.5546875" bestFit="1" customWidth="1"/>
  </cols>
  <sheetData>
    <row r="3" spans="1:6" x14ac:dyDescent="0.3">
      <c r="A3" s="1" t="s">
        <v>34</v>
      </c>
      <c r="B3" s="1" t="s">
        <v>11</v>
      </c>
    </row>
    <row r="4" spans="1:6" x14ac:dyDescent="0.3">
      <c r="A4" s="1" t="s">
        <v>9</v>
      </c>
      <c r="B4" t="s">
        <v>5</v>
      </c>
      <c r="C4" t="s">
        <v>6</v>
      </c>
      <c r="D4" t="s">
        <v>7</v>
      </c>
      <c r="E4" t="s">
        <v>8</v>
      </c>
      <c r="F4" t="s">
        <v>10</v>
      </c>
    </row>
    <row r="5" spans="1:6" x14ac:dyDescent="0.3">
      <c r="A5" s="2">
        <v>202501</v>
      </c>
      <c r="B5" s="3">
        <v>20</v>
      </c>
      <c r="C5" s="3">
        <v>75</v>
      </c>
      <c r="D5" s="3">
        <v>55</v>
      </c>
      <c r="E5" s="3">
        <v>95</v>
      </c>
      <c r="F5" s="3">
        <v>245</v>
      </c>
    </row>
    <row r="6" spans="1:6" x14ac:dyDescent="0.3">
      <c r="A6" s="2">
        <v>202502</v>
      </c>
      <c r="B6" s="3">
        <v>28</v>
      </c>
      <c r="C6" s="3">
        <v>85</v>
      </c>
      <c r="D6" s="3">
        <v>65</v>
      </c>
      <c r="E6" s="3">
        <v>55</v>
      </c>
      <c r="F6" s="3">
        <v>233</v>
      </c>
    </row>
    <row r="7" spans="1:6" x14ac:dyDescent="0.3">
      <c r="A7" s="2">
        <v>202503</v>
      </c>
      <c r="B7" s="3">
        <v>30</v>
      </c>
      <c r="C7" s="3">
        <v>50</v>
      </c>
      <c r="D7" s="3">
        <v>70</v>
      </c>
      <c r="E7" s="3">
        <v>60</v>
      </c>
      <c r="F7" s="3">
        <v>210</v>
      </c>
    </row>
    <row r="8" spans="1:6" x14ac:dyDescent="0.3">
      <c r="A8" s="2">
        <v>202504</v>
      </c>
      <c r="B8" s="3">
        <v>35</v>
      </c>
      <c r="C8" s="3">
        <v>105</v>
      </c>
      <c r="D8" s="3">
        <v>40</v>
      </c>
      <c r="E8" s="3">
        <v>65</v>
      </c>
      <c r="F8" s="3">
        <v>245</v>
      </c>
    </row>
    <row r="9" spans="1:6" x14ac:dyDescent="0.3">
      <c r="A9" s="2">
        <v>202505</v>
      </c>
      <c r="B9" s="3">
        <v>38</v>
      </c>
      <c r="C9" s="3">
        <v>60</v>
      </c>
      <c r="D9" s="3">
        <v>45</v>
      </c>
      <c r="E9" s="3">
        <v>70</v>
      </c>
      <c r="F9" s="3">
        <v>213</v>
      </c>
    </row>
    <row r="10" spans="1:6" x14ac:dyDescent="0.3">
      <c r="A10" s="2">
        <v>202506</v>
      </c>
      <c r="B10" s="3">
        <v>40</v>
      </c>
      <c r="C10" s="3">
        <v>65</v>
      </c>
      <c r="D10" s="3">
        <v>48</v>
      </c>
      <c r="E10" s="3">
        <v>75</v>
      </c>
      <c r="F10" s="3">
        <v>228</v>
      </c>
    </row>
    <row r="11" spans="1:6" x14ac:dyDescent="0.3">
      <c r="A11" s="2">
        <v>202507</v>
      </c>
      <c r="B11" s="3">
        <v>42</v>
      </c>
      <c r="C11" s="3">
        <v>70</v>
      </c>
      <c r="D11" s="3">
        <v>50</v>
      </c>
      <c r="E11" s="3">
        <v>80</v>
      </c>
      <c r="F11" s="3">
        <v>242</v>
      </c>
    </row>
    <row r="12" spans="1:6" x14ac:dyDescent="0.3">
      <c r="A12" s="2">
        <v>202508</v>
      </c>
      <c r="B12" s="3">
        <v>45</v>
      </c>
      <c r="C12" s="3">
        <v>75</v>
      </c>
      <c r="D12" s="3">
        <v>55</v>
      </c>
      <c r="E12" s="3">
        <v>85</v>
      </c>
      <c r="F12" s="3">
        <v>260</v>
      </c>
    </row>
    <row r="13" spans="1:6" x14ac:dyDescent="0.3">
      <c r="A13" s="2" t="s">
        <v>10</v>
      </c>
      <c r="B13" s="3">
        <v>278</v>
      </c>
      <c r="C13" s="3">
        <v>585</v>
      </c>
      <c r="D13" s="3">
        <v>428</v>
      </c>
      <c r="E13" s="3">
        <v>585</v>
      </c>
      <c r="F13" s="3">
        <v>1876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71668-D3A5-484E-89EB-201FEBB0A237}">
  <dimension ref="A3:F13"/>
  <sheetViews>
    <sheetView workbookViewId="0">
      <selection activeCell="I22" sqref="I22"/>
    </sheetView>
  </sheetViews>
  <sheetFormatPr defaultRowHeight="14.4" x14ac:dyDescent="0.3"/>
  <cols>
    <col min="1" max="1" width="21.33203125" bestFit="1" customWidth="1"/>
    <col min="2" max="2" width="15.5546875" bestFit="1" customWidth="1"/>
    <col min="3" max="5" width="6" bestFit="1" customWidth="1"/>
    <col min="6" max="6" width="10.5546875" bestFit="1" customWidth="1"/>
  </cols>
  <sheetData>
    <row r="3" spans="1:6" x14ac:dyDescent="0.3">
      <c r="A3" s="1" t="s">
        <v>32</v>
      </c>
      <c r="B3" s="1" t="s">
        <v>11</v>
      </c>
    </row>
    <row r="4" spans="1:6" x14ac:dyDescent="0.3">
      <c r="A4" s="1" t="s">
        <v>9</v>
      </c>
      <c r="B4" t="s">
        <v>5</v>
      </c>
      <c r="C4" t="s">
        <v>6</v>
      </c>
      <c r="D4" t="s">
        <v>7</v>
      </c>
      <c r="E4" t="s">
        <v>8</v>
      </c>
      <c r="F4" t="s">
        <v>10</v>
      </c>
    </row>
    <row r="5" spans="1:6" x14ac:dyDescent="0.3">
      <c r="A5" s="2">
        <v>202501</v>
      </c>
      <c r="B5" s="3">
        <v>2090.79</v>
      </c>
      <c r="C5" s="3">
        <v>3300</v>
      </c>
      <c r="D5" s="3">
        <v>2500</v>
      </c>
      <c r="E5" s="3">
        <v>4200</v>
      </c>
      <c r="F5" s="3">
        <v>12090.79</v>
      </c>
    </row>
    <row r="6" spans="1:6" x14ac:dyDescent="0.3">
      <c r="A6" s="2">
        <v>202502</v>
      </c>
      <c r="B6" s="3">
        <v>1300</v>
      </c>
      <c r="C6" s="3">
        <v>3800</v>
      </c>
      <c r="D6" s="3">
        <v>2900</v>
      </c>
      <c r="E6" s="3">
        <v>2300</v>
      </c>
      <c r="F6" s="3">
        <v>10300</v>
      </c>
    </row>
    <row r="7" spans="1:6" x14ac:dyDescent="0.3">
      <c r="A7" s="2">
        <v>202503</v>
      </c>
      <c r="B7" s="3">
        <v>1350</v>
      </c>
      <c r="C7" s="3">
        <v>2200</v>
      </c>
      <c r="D7" s="3">
        <v>3000</v>
      </c>
      <c r="E7" s="3">
        <v>2500</v>
      </c>
      <c r="F7" s="3">
        <v>9050</v>
      </c>
    </row>
    <row r="8" spans="1:6" x14ac:dyDescent="0.3">
      <c r="A8" s="2">
        <v>202504</v>
      </c>
      <c r="B8" s="3">
        <v>1500</v>
      </c>
      <c r="C8" s="3">
        <v>4600</v>
      </c>
      <c r="D8" s="3">
        <v>1700</v>
      </c>
      <c r="E8" s="3">
        <v>2700</v>
      </c>
      <c r="F8" s="3">
        <v>10500</v>
      </c>
    </row>
    <row r="9" spans="1:6" x14ac:dyDescent="0.3">
      <c r="A9" s="2">
        <v>202505</v>
      </c>
      <c r="B9" s="3">
        <v>1600</v>
      </c>
      <c r="C9" s="3">
        <v>2600</v>
      </c>
      <c r="D9" s="3">
        <v>1800</v>
      </c>
      <c r="E9" s="3">
        <v>3000</v>
      </c>
      <c r="F9" s="3">
        <v>9000</v>
      </c>
    </row>
    <row r="10" spans="1:6" x14ac:dyDescent="0.3">
      <c r="A10" s="2">
        <v>202506</v>
      </c>
      <c r="B10" s="3">
        <v>1700</v>
      </c>
      <c r="C10" s="3">
        <v>2800</v>
      </c>
      <c r="D10" s="3">
        <v>1900</v>
      </c>
      <c r="E10" s="3">
        <v>3200</v>
      </c>
      <c r="F10" s="3">
        <v>9600</v>
      </c>
    </row>
    <row r="11" spans="1:6" x14ac:dyDescent="0.3">
      <c r="A11" s="2">
        <v>202507</v>
      </c>
      <c r="B11" s="3">
        <v>1800</v>
      </c>
      <c r="C11" s="3">
        <v>3000</v>
      </c>
      <c r="D11" s="3">
        <v>2000</v>
      </c>
      <c r="E11" s="3">
        <v>3400</v>
      </c>
      <c r="F11" s="3">
        <v>10200</v>
      </c>
    </row>
    <row r="12" spans="1:6" x14ac:dyDescent="0.3">
      <c r="A12" s="2">
        <v>202508</v>
      </c>
      <c r="B12" s="3">
        <v>1900</v>
      </c>
      <c r="C12" s="3">
        <v>3200</v>
      </c>
      <c r="D12" s="3">
        <v>2100</v>
      </c>
      <c r="E12" s="3">
        <v>3600</v>
      </c>
      <c r="F12" s="3">
        <v>10800</v>
      </c>
    </row>
    <row r="13" spans="1:6" x14ac:dyDescent="0.3">
      <c r="A13" s="2" t="s">
        <v>10</v>
      </c>
      <c r="B13" s="3">
        <v>13240.79</v>
      </c>
      <c r="C13" s="3">
        <v>25500</v>
      </c>
      <c r="D13" s="3">
        <v>17900</v>
      </c>
      <c r="E13" s="3">
        <v>24900</v>
      </c>
      <c r="F13" s="3">
        <v>81540.790000000008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ECE69-E84E-4C94-9FE7-A56E2C1DB2BB}">
  <dimension ref="A3:F13"/>
  <sheetViews>
    <sheetView workbookViewId="0">
      <selection activeCell="I20" sqref="I20"/>
    </sheetView>
  </sheetViews>
  <sheetFormatPr defaultRowHeight="14.4" x14ac:dyDescent="0.3"/>
  <cols>
    <col min="1" max="1" width="26.33203125" bestFit="1" customWidth="1"/>
    <col min="2" max="2" width="15.5546875" bestFit="1" customWidth="1"/>
    <col min="3" max="5" width="6" bestFit="1" customWidth="1"/>
    <col min="6" max="6" width="10.5546875" bestFit="1" customWidth="1"/>
  </cols>
  <sheetData>
    <row r="3" spans="1:6" x14ac:dyDescent="0.3">
      <c r="A3" s="1" t="s">
        <v>33</v>
      </c>
      <c r="B3" s="1" t="s">
        <v>11</v>
      </c>
    </row>
    <row r="4" spans="1:6" x14ac:dyDescent="0.3">
      <c r="A4" s="1" t="s">
        <v>9</v>
      </c>
      <c r="B4" t="s">
        <v>5</v>
      </c>
      <c r="C4" t="s">
        <v>6</v>
      </c>
      <c r="D4" t="s">
        <v>7</v>
      </c>
      <c r="E4" t="s">
        <v>8</v>
      </c>
      <c r="F4" t="s">
        <v>10</v>
      </c>
    </row>
    <row r="5" spans="1:6" x14ac:dyDescent="0.3">
      <c r="A5" s="2">
        <v>202501</v>
      </c>
      <c r="B5" s="3">
        <v>3000</v>
      </c>
      <c r="C5" s="3">
        <v>7500</v>
      </c>
      <c r="D5" s="3">
        <v>8000</v>
      </c>
      <c r="E5" s="3">
        <v>9800</v>
      </c>
      <c r="F5" s="3">
        <v>28300</v>
      </c>
    </row>
    <row r="6" spans="1:6" x14ac:dyDescent="0.3">
      <c r="A6" s="2">
        <v>202502</v>
      </c>
      <c r="B6" s="3">
        <v>3400</v>
      </c>
      <c r="C6" s="3">
        <v>8100</v>
      </c>
      <c r="D6" s="3">
        <v>7900</v>
      </c>
      <c r="E6" s="3">
        <v>5200</v>
      </c>
      <c r="F6" s="3">
        <v>24600</v>
      </c>
    </row>
    <row r="7" spans="1:6" x14ac:dyDescent="0.3">
      <c r="A7" s="2">
        <v>202503</v>
      </c>
      <c r="B7" s="3">
        <v>3600</v>
      </c>
      <c r="C7" s="3">
        <v>4500</v>
      </c>
      <c r="D7" s="3">
        <v>8100</v>
      </c>
      <c r="E7" s="3">
        <v>5600</v>
      </c>
      <c r="F7" s="3">
        <v>21800</v>
      </c>
    </row>
    <row r="8" spans="1:6" x14ac:dyDescent="0.3">
      <c r="A8" s="2">
        <v>202504</v>
      </c>
      <c r="B8" s="3">
        <v>3800</v>
      </c>
      <c r="C8" s="3">
        <v>9200</v>
      </c>
      <c r="D8" s="3">
        <v>4300</v>
      </c>
      <c r="E8" s="3">
        <v>5900</v>
      </c>
      <c r="F8" s="3">
        <v>23200</v>
      </c>
    </row>
    <row r="9" spans="1:6" x14ac:dyDescent="0.3">
      <c r="A9" s="2">
        <v>202505</v>
      </c>
      <c r="B9" s="3">
        <v>4000</v>
      </c>
      <c r="C9" s="3">
        <v>5000</v>
      </c>
      <c r="D9" s="3">
        <v>4400</v>
      </c>
      <c r="E9" s="3">
        <v>6200</v>
      </c>
      <c r="F9" s="3">
        <v>19600</v>
      </c>
    </row>
    <row r="10" spans="1:6" x14ac:dyDescent="0.3">
      <c r="A10" s="2">
        <v>202506</v>
      </c>
      <c r="B10" s="3">
        <v>4200</v>
      </c>
      <c r="C10" s="3">
        <v>5200</v>
      </c>
      <c r="D10" s="3">
        <v>4600</v>
      </c>
      <c r="E10" s="3">
        <v>6500</v>
      </c>
      <c r="F10" s="3">
        <v>20500</v>
      </c>
    </row>
    <row r="11" spans="1:6" x14ac:dyDescent="0.3">
      <c r="A11" s="2">
        <v>202507</v>
      </c>
      <c r="B11" s="3">
        <v>4400</v>
      </c>
      <c r="C11" s="3">
        <v>5500</v>
      </c>
      <c r="D11" s="3">
        <v>4800</v>
      </c>
      <c r="E11" s="3">
        <v>6800</v>
      </c>
      <c r="F11" s="3">
        <v>21500</v>
      </c>
    </row>
    <row r="12" spans="1:6" x14ac:dyDescent="0.3">
      <c r="A12" s="2">
        <v>202508</v>
      </c>
      <c r="B12" s="3">
        <v>4600</v>
      </c>
      <c r="C12" s="3">
        <v>5800</v>
      </c>
      <c r="D12" s="3">
        <v>5000</v>
      </c>
      <c r="E12" s="3">
        <v>7100</v>
      </c>
      <c r="F12" s="3">
        <v>22500</v>
      </c>
    </row>
    <row r="13" spans="1:6" x14ac:dyDescent="0.3">
      <c r="A13" s="2" t="s">
        <v>10</v>
      </c>
      <c r="B13" s="3">
        <v>31000</v>
      </c>
      <c r="C13" s="3">
        <v>50800</v>
      </c>
      <c r="D13" s="3">
        <v>47100</v>
      </c>
      <c r="E13" s="3">
        <v>53100</v>
      </c>
      <c r="F13" s="3">
        <v>182000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E27D2-AC33-45BC-ADBA-C3B02023FE32}">
  <dimension ref="A3:G8"/>
  <sheetViews>
    <sheetView tabSelected="1" zoomScale="133" zoomScaleNormal="133" workbookViewId="0">
      <selection activeCell="G23" sqref="G23"/>
    </sheetView>
  </sheetViews>
  <sheetFormatPr defaultRowHeight="14.4" x14ac:dyDescent="0.3"/>
  <cols>
    <col min="1" max="1" width="12.44140625" bestFit="1" customWidth="1"/>
    <col min="2" max="2" width="16.109375" bestFit="1" customWidth="1"/>
    <col min="3" max="3" width="16.88671875" bestFit="1" customWidth="1"/>
    <col min="4" max="4" width="22.21875" bestFit="1" customWidth="1"/>
    <col min="5" max="5" width="8.88671875" style="5"/>
    <col min="6" max="6" width="12.33203125" bestFit="1" customWidth="1"/>
    <col min="7" max="7" width="10" style="4" bestFit="1" customWidth="1"/>
  </cols>
  <sheetData>
    <row r="3" spans="1:7" x14ac:dyDescent="0.3">
      <c r="A3" s="1" t="s">
        <v>9</v>
      </c>
      <c r="B3" t="s">
        <v>12</v>
      </c>
      <c r="C3" t="s">
        <v>13</v>
      </c>
      <c r="D3" t="s">
        <v>14</v>
      </c>
      <c r="E3" s="5" t="s">
        <v>15</v>
      </c>
      <c r="F3" t="s">
        <v>16</v>
      </c>
      <c r="G3" s="4" t="s">
        <v>17</v>
      </c>
    </row>
    <row r="4" spans="1:7" x14ac:dyDescent="0.3">
      <c r="A4" s="2" t="s">
        <v>5</v>
      </c>
      <c r="B4" s="3">
        <v>278</v>
      </c>
      <c r="C4" s="3">
        <v>13240.79</v>
      </c>
      <c r="D4" s="3">
        <v>31000</v>
      </c>
      <c r="E4" s="5">
        <f>B4/C4</f>
        <v>2.0995726085830224E-2</v>
      </c>
      <c r="F4">
        <f>C4/B4</f>
        <v>47.62874100719425</v>
      </c>
      <c r="G4" s="4">
        <f>B4/D4</f>
        <v>8.9677419354838705E-3</v>
      </c>
    </row>
    <row r="5" spans="1:7" x14ac:dyDescent="0.3">
      <c r="A5" s="2" t="s">
        <v>6</v>
      </c>
      <c r="B5" s="3">
        <v>585</v>
      </c>
      <c r="C5" s="3">
        <v>25500</v>
      </c>
      <c r="D5" s="3">
        <v>50800</v>
      </c>
      <c r="E5" s="5">
        <f t="shared" ref="E5:E8" si="0">B5/C5</f>
        <v>2.2941176470588236E-2</v>
      </c>
      <c r="F5">
        <f t="shared" ref="F5:F8" si="1">C5/B5</f>
        <v>43.589743589743591</v>
      </c>
      <c r="G5" s="4">
        <f t="shared" ref="G5:G8" si="2">B5/D5</f>
        <v>1.1515748031496064E-2</v>
      </c>
    </row>
    <row r="6" spans="1:7" x14ac:dyDescent="0.3">
      <c r="A6" s="2" t="s">
        <v>7</v>
      </c>
      <c r="B6" s="3">
        <v>428</v>
      </c>
      <c r="C6" s="3">
        <v>17900</v>
      </c>
      <c r="D6" s="3">
        <v>47100</v>
      </c>
      <c r="E6" s="5">
        <f t="shared" si="0"/>
        <v>2.3910614525139665E-2</v>
      </c>
      <c r="F6">
        <f t="shared" si="1"/>
        <v>41.822429906542055</v>
      </c>
      <c r="G6" s="4">
        <f t="shared" si="2"/>
        <v>9.0870488322717623E-3</v>
      </c>
    </row>
    <row r="7" spans="1:7" x14ac:dyDescent="0.3">
      <c r="A7" s="2" t="s">
        <v>8</v>
      </c>
      <c r="B7" s="3">
        <v>585</v>
      </c>
      <c r="C7" s="3">
        <v>24900</v>
      </c>
      <c r="D7" s="3">
        <v>53100</v>
      </c>
      <c r="E7" s="5">
        <f t="shared" si="0"/>
        <v>2.3493975903614458E-2</v>
      </c>
      <c r="F7">
        <f t="shared" si="1"/>
        <v>42.564102564102562</v>
      </c>
      <c r="G7" s="4">
        <f t="shared" si="2"/>
        <v>1.1016949152542373E-2</v>
      </c>
    </row>
    <row r="8" spans="1:7" x14ac:dyDescent="0.3">
      <c r="A8" s="2" t="s">
        <v>10</v>
      </c>
      <c r="B8" s="3">
        <v>1876</v>
      </c>
      <c r="C8" s="3">
        <v>81540.790000000008</v>
      </c>
      <c r="D8" s="3">
        <v>182000</v>
      </c>
      <c r="E8" s="5">
        <f t="shared" si="0"/>
        <v>2.3006890171164637E-2</v>
      </c>
      <c r="F8">
        <f t="shared" si="1"/>
        <v>43.465239872068231</v>
      </c>
      <c r="G8" s="4">
        <f t="shared" si="2"/>
        <v>1.0307692307692308E-2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FF1B7-22C5-422A-98E0-F034D04E1725}">
  <dimension ref="B2:B22"/>
  <sheetViews>
    <sheetView workbookViewId="0">
      <selection activeCell="F23" sqref="F23"/>
    </sheetView>
  </sheetViews>
  <sheetFormatPr defaultRowHeight="14.4" x14ac:dyDescent="0.3"/>
  <cols>
    <col min="2" max="2" width="53.44140625" bestFit="1" customWidth="1"/>
  </cols>
  <sheetData>
    <row r="2" spans="2:2" ht="18" x14ac:dyDescent="0.3">
      <c r="B2" s="6" t="s">
        <v>18</v>
      </c>
    </row>
    <row r="4" spans="2:2" x14ac:dyDescent="0.3">
      <c r="B4" t="s">
        <v>19</v>
      </c>
    </row>
    <row r="5" spans="2:2" x14ac:dyDescent="0.3">
      <c r="B5" t="s">
        <v>20</v>
      </c>
    </row>
    <row r="6" spans="2:2" x14ac:dyDescent="0.3">
      <c r="B6" t="s">
        <v>21</v>
      </c>
    </row>
    <row r="8" spans="2:2" ht="18" x14ac:dyDescent="0.3">
      <c r="B8" s="6" t="s">
        <v>22</v>
      </c>
    </row>
    <row r="10" spans="2:2" x14ac:dyDescent="0.3">
      <c r="B10" t="s">
        <v>23</v>
      </c>
    </row>
    <row r="11" spans="2:2" x14ac:dyDescent="0.3">
      <c r="B11" t="s">
        <v>24</v>
      </c>
    </row>
    <row r="13" spans="2:2" ht="18" x14ac:dyDescent="0.3">
      <c r="B13" s="6" t="s">
        <v>25</v>
      </c>
    </row>
    <row r="15" spans="2:2" x14ac:dyDescent="0.3">
      <c r="B15" t="s">
        <v>26</v>
      </c>
    </row>
    <row r="16" spans="2:2" x14ac:dyDescent="0.3">
      <c r="B16" t="s">
        <v>27</v>
      </c>
    </row>
    <row r="18" spans="2:2" ht="18" x14ac:dyDescent="0.3">
      <c r="B18" s="6" t="s">
        <v>28</v>
      </c>
    </row>
    <row r="20" spans="2:2" x14ac:dyDescent="0.3">
      <c r="B20" t="s">
        <v>29</v>
      </c>
    </row>
    <row r="21" spans="2:2" x14ac:dyDescent="0.3">
      <c r="B21" t="s">
        <v>30</v>
      </c>
    </row>
    <row r="22" spans="2:2" x14ac:dyDescent="0.3">
      <c r="B2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Weekly_Sales</vt:lpstr>
      <vt:lpstr>Weekly_Spend</vt:lpstr>
      <vt:lpstr>Weekly_Impressions</vt:lpstr>
      <vt:lpstr>Region_Summary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prajaktay525@gmail.com</cp:lastModifiedBy>
  <dcterms:created xsi:type="dcterms:W3CDTF">2026-02-21T08:47:04Z</dcterms:created>
  <dcterms:modified xsi:type="dcterms:W3CDTF">2026-02-21T13:04:16Z</dcterms:modified>
</cp:coreProperties>
</file>